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print Backlog 01" sheetId="2" state="visible" r:id="rId4"/>
    <sheet name="Sprint Review" sheetId="3" state="visible" r:id="rId5"/>
    <sheet name="Sprint Retrospec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<sst xmlns="http://schemas.openxmlformats.org/spreadsheetml/2006/main" count="204" uniqueCount="117">
  <si>
    <t xml:space="preserve">Defesa em Foco</t>
  </si>
  <si>
    <t xml:space="preserve">Padrão User Story</t>
  </si>
  <si>
    <t xml:space="preserve">Adaptador de MindMaster</t>
  </si>
  <si>
    <t xml:space="preserve">PBI</t>
  </si>
  <si>
    <t xml:space="preserve">ESTÓRIAS</t>
  </si>
  <si>
    <t xml:space="preserve">COMO UM </t>
  </si>
  <si>
    <t xml:space="preserve">EU GOSTARIA DE </t>
  </si>
  <si>
    <t xml:space="preserve">PARA QUE </t>
  </si>
  <si>
    <t xml:space="preserve">Tamanho da Estória
Fibonacci (1,2,3,5..)</t>
  </si>
  <si>
    <t xml:space="preserve">Sprint</t>
  </si>
  <si>
    <t xml:space="preserve">Status</t>
  </si>
  <si>
    <t xml:space="preserve">Cadastro de Cidadão com LGPD</t>
  </si>
  <si>
    <t xml:space="preserve">Cidadão</t>
  </si>
  <si>
    <t xml:space="preserve">criar minha conta no aplicativo aceitando os termos da LGPD</t>
  </si>
  <si>
    <t xml:space="preserve">poder reportar ocorrências legalmente e com segurança</t>
  </si>
  <si>
    <t xml:space="preserve">M</t>
  </si>
  <si>
    <t xml:space="preserve">Entregue </t>
  </si>
  <si>
    <t xml:space="preserve">Login no Aplicativo</t>
  </si>
  <si>
    <t xml:space="preserve">Usuário</t>
  </si>
  <si>
    <t xml:space="preserve">fazer login no aplicativo com email e senha</t>
  </si>
  <si>
    <t xml:space="preserve">ter acesso às funcionalidades correspondentes ao meu perfil</t>
  </si>
  <si>
    <t xml:space="preserve">P</t>
  </si>
  <si>
    <t xml:space="preserve">Visualização do Mapa e Marcadores</t>
  </si>
  <si>
    <t xml:space="preserve">visualizar um mapa interativo com geolocalização</t>
  </si>
  <si>
    <t xml:space="preserve">saber exatamente onde estão as ocorrências e pontos de interesse na minha cidade</t>
  </si>
  <si>
    <t xml:space="preserve">Registro de Ocorrência (Com Foto e GPS)</t>
  </si>
  <si>
    <t xml:space="preserve">registrar uma ocorrência enviando foto e minha localização atual</t>
  </si>
  <si>
    <t xml:space="preserve">alertar a defesa civil sobre uma emergência em tempo real</t>
  </si>
  <si>
    <t xml:space="preserve">G</t>
  </si>
  <si>
    <t xml:space="preserve">Sincronização Offline-First</t>
  </si>
  <si>
    <t xml:space="preserve">ter meus registros salvos localmente quando eu estiver sem internet</t>
  </si>
  <si>
    <t xml:space="preserve">não perder a denúncia e sincronizá-la assim que a rede voltar</t>
  </si>
  <si>
    <t xml:space="preserve">GG</t>
  </si>
  <si>
    <t xml:space="preserve">Histórico de Ocorrências Pessoais</t>
  </si>
  <si>
    <t xml:space="preserve">ver a lista das ocorrências que eu mesmo registrei</t>
  </si>
  <si>
    <t xml:space="preserve">acompanhar o status e o progresso das minhas solicitações</t>
  </si>
  <si>
    <t xml:space="preserve">Painel do Coordenador (Aprovação)</t>
  </si>
  <si>
    <t xml:space="preserve">Administrador</t>
  </si>
  <si>
    <t xml:space="preserve">visualizar ocorrências pendentes para aprovar ou recusar</t>
  </si>
  <si>
    <t xml:space="preserve">filtrar trotes e organizar a fila de emergências reais</t>
  </si>
  <si>
    <t xml:space="preserve">Atribuição de Agentes</t>
  </si>
  <si>
    <t xml:space="preserve">atribuir agentes específicos para uma ocorrência aprovada</t>
  </si>
  <si>
    <t xml:space="preserve">direcionar a equipe certa para o local da emergência</t>
  </si>
  <si>
    <t xml:space="preserve">Registro de Chegada no Local</t>
  </si>
  <si>
    <t xml:space="preserve">Agente</t>
  </si>
  <si>
    <t xml:space="preserve">informar via aplicativo que cheguei ao local da ocorrência</t>
  </si>
  <si>
    <t xml:space="preserve">alterar o status para 'Trabalhando Atualmente' de forma transparente</t>
  </si>
  <si>
    <t xml:space="preserve">Resolução de Ocorrência</t>
  </si>
  <si>
    <t xml:space="preserve">marcar uma ocorrência como 'Resolvida' e adicionar um parecer</t>
  </si>
  <si>
    <t xml:space="preserve">finalizar o ciclo da emergência e informar aos demais usuários</t>
  </si>
  <si>
    <t xml:space="preserve">Gestão de Pontos de Interesse (POIs)</t>
  </si>
  <si>
    <t xml:space="preserve">cadastrar pontos no mapa como abrigos e pontos de coleta</t>
  </si>
  <si>
    <t xml:space="preserve">orientar a população sobre infraestruturas seguras durante um desastre</t>
  </si>
  <si>
    <t xml:space="preserve">Edição de Dados de Emergência</t>
  </si>
  <si>
    <t xml:space="preserve">editar as coordenadas ou fotos de uma ocorrência existente</t>
  </si>
  <si>
    <t xml:space="preserve">corrigir informações imprecisas enviadas por cidadãos desesperados</t>
  </si>
  <si>
    <t xml:space="preserve">Notificações Push (OneSignal)</t>
  </si>
  <si>
    <t xml:space="preserve">receber alertas e notificações no meu celular</t>
  </si>
  <si>
    <t xml:space="preserve">ser avisado imediatamente sobre mudanças de status ou riscos próximos</t>
  </si>
  <si>
    <t xml:space="preserve">Elevação de Perfil</t>
  </si>
  <si>
    <t xml:space="preserve">alterar o nível de um cidadão para Agente ou Administrador</t>
  </si>
  <si>
    <t xml:space="preserve">adicionar novos membros à equipe operacional da Defesa Civil</t>
  </si>
  <si>
    <t xml:space="preserve">Filtragem e Isolamento por Cidade</t>
  </si>
  <si>
    <t xml:space="preserve">ver apenas os dados referentes à minha cidade selecionada</t>
  </si>
  <si>
    <t xml:space="preserve">não poluir minha visualização com dados de outras regiões</t>
  </si>
  <si>
    <t xml:space="preserve">Recuperação de Senha</t>
  </si>
  <si>
    <t xml:space="preserve">solicitar a redefinição da minha senha por e-mail</t>
  </si>
  <si>
    <t xml:space="preserve">recuperar meu acesso caso eu esqueça a credencial</t>
  </si>
  <si>
    <t xml:space="preserve">Monetização com Google AdMob</t>
  </si>
  <si>
    <t xml:space="preserve">visualizar anúncios (Banner, Native, Interstitial) apenas quando deslogado</t>
  </si>
  <si>
    <t xml:space="preserve">apoiar financeiramente o aplicativo sem degradar a UX</t>
  </si>
  <si>
    <t xml:space="preserve">Restrição Geográfica de POIs</t>
  </si>
  <si>
    <t xml:space="preserve">Coordenador</t>
  </si>
  <si>
    <t xml:space="preserve">ser impedido de registrar pontos de interesse fora de minha jurisdição</t>
  </si>
  <si>
    <t xml:space="preserve">evitar erros operacionais e manter a integridade dos dados</t>
  </si>
  <si>
    <t xml:space="preserve">Validações de Segurança Backend</t>
  </si>
  <si>
    <t xml:space="preserve">Sistema</t>
  </si>
  <si>
    <t xml:space="preserve">forçar senhas seguras, CORS restrito, sanitizar inputs contra XSS e isolar consultas</t>
  </si>
  <si>
    <t xml:space="preserve">garantir a segurança e integridade de todo o ecossistema</t>
  </si>
  <si>
    <t xml:space="preserve">SPRINT BACKLOG</t>
  </si>
  <si>
    <t xml:space="preserve">KANBAN</t>
  </si>
  <si>
    <t xml:space="preserve">A fazer</t>
  </si>
  <si>
    <t xml:space="preserve">Em Andamento</t>
  </si>
  <si>
    <t xml:space="preserve">Pronto</t>
  </si>
  <si>
    <t xml:space="preserve">ESTÓRIA
(preenchimento automático)</t>
  </si>
  <si>
    <t xml:space="preserve">TAREFA</t>
  </si>
  <si>
    <t xml:space="preserve">Pontos da Estória
(preenchimento automático)</t>
  </si>
  <si>
    <t xml:space="preserve">SPRINT REVIEW</t>
  </si>
  <si>
    <t xml:space="preserve"># SPRINT</t>
  </si>
  <si>
    <t xml:space="preserve">ESTÓRIA (prenchimento automático)</t>
  </si>
  <si>
    <t xml:space="preserve">Aprovada</t>
  </si>
  <si>
    <t xml:space="preserve">Obs</t>
  </si>
  <si>
    <t xml:space="preserve">Sim</t>
  </si>
  <si>
    <t xml:space="preserve">Entregue na versão definitiva</t>
  </si>
  <si>
    <t xml:space="preserve">RETROSPECTIVA</t>
  </si>
  <si>
    <t xml:space="preserve"># Sprint</t>
  </si>
  <si>
    <t xml:space="preserve">o que foi bem</t>
  </si>
  <si>
    <t xml:space="preserve">O que pode melhorar</t>
  </si>
  <si>
    <t xml:space="preserve">Plano de Ação</t>
  </si>
  <si>
    <t xml:space="preserve">Implementação bem-sucedida do cadastro com LGPD, login de usuários e mapa interativo inicial.</t>
  </si>
  <si>
    <t xml:space="preserve">Primeira integração de mapas.</t>
  </si>
  <si>
    <t xml:space="preserve">Iniciar desenvolvimento da persistência local e suporte offline.</t>
  </si>
  <si>
    <t xml:space="preserve">Conclusão do mecanismo offline-first, sincronização assíncrona robusta e registro de ocorrências.</t>
  </si>
  <si>
    <t xml:space="preserve">Uso de mídias pesadas na rede celular.</t>
  </si>
  <si>
    <t xml:space="preserve">Estruturar lógica de painéis operacionais no backend.</t>
  </si>
  <si>
    <t xml:space="preserve">Desenvolvimento do painel do coordenador completo para aprovação de ocorrências e atribuição de agentes.</t>
  </si>
  <si>
    <t xml:space="preserve">Gerenciamento de filas operacionais.</t>
  </si>
  <si>
    <t xml:space="preserve">Integrar controle de fluxo de chegada de agentes no local da ocorrência.</t>
  </si>
  <si>
    <t xml:space="preserve">Implementação do status de 'Trabalhando Atualmente', resoluções de ocorrências e gestão de POIs no mapa.</t>
  </si>
  <si>
    <t xml:space="preserve">Validação de geocodificação no mobile.</t>
  </si>
  <si>
    <t xml:space="preserve">Iniciar configuração de alertas push em tempo real.</t>
  </si>
  <si>
    <t xml:space="preserve">Sucesso na integração com OneSignal para notificações push e filtragem/isolamento completo por cidade.</t>
  </si>
  <si>
    <t xml:space="preserve">Desempenho de busca regional.</t>
  </si>
  <si>
    <t xml:space="preserve">Conduzir auditoria de segurança do backend e integrar monetização sustentável.</t>
  </si>
  <si>
    <t xml:space="preserve">Monetização AdMob totalmente integrada (anúncios apenas para deslogados), isolamento municipal estrito de POIs e backend blindado contra brechas de segurança.</t>
  </si>
  <si>
    <t xml:space="preserve">Polimento final e homologação.</t>
  </si>
  <si>
    <t xml:space="preserve">Geração de artefatos finais e empacotamento da versão definitiva.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</si>
</sst>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8" tint="-0.25"/>
      <name val="Calibri"/>
      <family val="2"/>
      <charset val="1"/>
    </font>
    <font>
      <b val="true"/>
      <sz val="20"/>
      <color theme="2" tint="-0.5"/>
      <name val="Calibri"/>
      <family val="2"/>
      <charset val="1"/>
    </font>
    <font>
      <i val="true"/>
      <sz val="11"/>
      <color theme="0" tint="-0.5"/>
      <name val="Calibri"/>
      <family val="2"/>
      <charset val="1"/>
    </font>
    <font>
      <b val="true"/>
      <sz val="11"/>
      <color rgb="FF444444"/>
      <name val="Inherit"/>
      <family val="0"/>
      <charset val="1"/>
    </font>
    <font>
      <b val="true"/>
      <sz val="11"/>
      <color theme="2" tint="-0.5"/>
      <name val="Inherit"/>
      <family val="0"/>
      <charset val="1"/>
    </font>
    <font>
      <b val="true"/>
      <sz val="14"/>
      <color theme="2" tint="-0.5"/>
      <name val="Inherit"/>
      <family val="0"/>
      <charset val="1"/>
    </font>
    <font>
      <sz val="11"/>
      <color theme="1" tint="0.3499"/>
      <name val="Calibri"/>
      <family val="2"/>
      <charset val="1"/>
    </font>
    <font>
      <sz val="11"/>
      <color theme="1" tint="0.3499"/>
      <name val="Calibri"/>
      <family val="0"/>
      <charset val="1"/>
    </font>
    <font>
      <i val="true"/>
      <sz val="11"/>
      <color theme="1" tint="0.3499"/>
      <name val="Arial"/>
      <family val="2"/>
      <charset val="1"/>
    </font>
    <font>
      <b val="true"/>
      <sz val="20"/>
      <color theme="8" tint="-0.25"/>
      <name val="Calibri"/>
      <family val="2"/>
      <charset val="1"/>
    </font>
    <font>
      <b val="true"/>
      <sz val="20"/>
      <color theme="1"/>
      <name val="Calibri"/>
      <family val="2"/>
      <charset val="1"/>
    </font>
    <font>
      <sz val="11"/>
      <color theme="0" tint="-0.5"/>
      <name val="Calibri"/>
      <family val="2"/>
      <charset val="1"/>
    </font>
    <font>
      <i val="true"/>
      <sz val="9"/>
      <color theme="0" tint="-0.5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444444"/>
      <name val="Inherit"/>
      <family val="0"/>
      <charset val="1"/>
    </font>
    <font>
      <i val="true"/>
      <sz val="11"/>
      <color theme="1" tint="0.3499"/>
      <name val="Arial"/>
      <family val="0"/>
      <charset val="1"/>
    </font>
    <font>
      <b val="true"/>
      <sz val="24"/>
      <color rgb="FF31869B"/>
      <name val="Calibri"/>
      <family val="2"/>
      <charset val="1"/>
    </font>
    <font>
      <i val="true"/>
      <sz val="10"/>
      <color theme="1" tint="0.349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F2F2F2"/>
      </patternFill>
    </fill>
    <fill>
      <patternFill patternType="solid">
        <fgColor theme="2" tint="-0.25"/>
        <bgColor rgb="FFFFCC99"/>
      </patternFill>
    </fill>
    <fill>
      <patternFill patternType="solid">
        <fgColor theme="0" tint="-0.05"/>
        <bgColor rgb="FFEEECE1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4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1859C"/>
      <rgbColor rgb="FFC4BD97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48A54"/>
      <rgbColor rgb="FF003366"/>
      <rgbColor rgb="FF31869B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15.00390625" defaultRowHeight="15" customHeight="false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5.29"/>
    <col collapsed="false" customWidth="true" hidden="false" outlineLevel="0" max="3" min="3" style="1" width="63.29"/>
    <col collapsed="false" customWidth="true" hidden="false" outlineLevel="0" max="4" min="4" style="1" width="31"/>
    <col collapsed="false" customWidth="true" hidden="false" outlineLevel="0" max="5" min="5" style="1" width="33.14"/>
    <col collapsed="false" customWidth="true" hidden="false" outlineLevel="0" max="6" min="6" style="1" width="31"/>
    <col collapsed="false" customWidth="true" hidden="false" outlineLevel="0" max="7" min="7" style="0" width="18"/>
  </cols>
  <sheetData>
    <row r="1" customFormat="false" ht="30" hidden="false" customHeight="true" outlineLevel="0" collapsed="false">
      <c r="B1" s="2" t="s">
        <v>0</v>
      </c>
      <c r="C1" s="2"/>
      <c r="D1" s="3" t="s">
        <v>1</v>
      </c>
      <c r="E1" s="3"/>
      <c r="F1" s="3"/>
      <c r="G1" s="4" t="s">
        <v>2</v>
      </c>
    </row>
    <row r="2" customFormat="false" ht="42.75" hidden="false" customHeight="true" outlineLevel="0" collapsed="false">
      <c r="B2" s="5" t="s">
        <v>3</v>
      </c>
      <c r="C2" s="6" t="s">
        <v>4</v>
      </c>
      <c r="D2" s="7" t="s">
        <v>5</v>
      </c>
      <c r="E2" s="7" t="s">
        <v>6</v>
      </c>
      <c r="F2" s="7" t="s">
        <v>7</v>
      </c>
      <c r="G2" s="6" t="s">
        <v>8</v>
      </c>
      <c r="H2" s="8" t="s">
        <v>9</v>
      </c>
      <c r="I2" s="9" t="s">
        <v>10</v>
      </c>
    </row>
    <row r="3" customFormat="false" ht="24.05" hidden="false" customHeight="false" outlineLevel="0" collapsed="false">
      <c r="B3" s="10" t="n">
        <v>1</v>
      </c>
      <c r="C3" s="11" t="s">
        <v>11</v>
      </c>
      <c r="D3" s="11" t="s">
        <v>12</v>
      </c>
      <c r="E3" s="11" t="s">
        <v>13</v>
      </c>
      <c r="F3" s="11" t="s">
        <v>14</v>
      </c>
      <c r="G3" s="10" t="s">
        <v>15</v>
      </c>
      <c r="H3" s="10" t="n">
        <v>1</v>
      </c>
      <c r="I3" s="12" t="s">
        <v>16</v>
      </c>
    </row>
    <row r="4" customFormat="false" ht="24.05" hidden="false" customHeight="false" outlineLevel="0" collapsed="false">
      <c r="B4" s="13" t="n">
        <v>2</v>
      </c>
      <c r="C4" s="14" t="s">
        <v>17</v>
      </c>
      <c r="D4" s="14" t="s">
        <v>18</v>
      </c>
      <c r="E4" s="14" t="s">
        <v>19</v>
      </c>
      <c r="F4" s="14" t="s">
        <v>20</v>
      </c>
      <c r="G4" s="13" t="s">
        <v>21</v>
      </c>
      <c r="H4" s="13" t="n">
        <v>1</v>
      </c>
      <c r="I4" s="12" t="s">
        <v>16</v>
      </c>
    </row>
    <row r="5" customFormat="false" ht="35.5" hidden="false" customHeight="false" outlineLevel="0" collapsed="false">
      <c r="B5" s="10" t="n">
        <v>3</v>
      </c>
      <c r="C5" s="11" t="s">
        <v>22</v>
      </c>
      <c r="D5" s="11" t="s">
        <v>18</v>
      </c>
      <c r="E5" s="11" t="s">
        <v>23</v>
      </c>
      <c r="F5" s="11" t="s">
        <v>24</v>
      </c>
      <c r="G5" s="10" t="s">
        <v>15</v>
      </c>
      <c r="H5" s="10" t="n">
        <v>1</v>
      </c>
      <c r="I5" s="12" t="s">
        <v>16</v>
      </c>
    </row>
    <row r="6" customFormat="false" ht="24.05" hidden="false" customHeight="false" outlineLevel="0" collapsed="false">
      <c r="B6" s="13" t="n">
        <v>4</v>
      </c>
      <c r="C6" s="15" t="s">
        <v>25</v>
      </c>
      <c r="D6" s="15" t="s">
        <v>12</v>
      </c>
      <c r="E6" s="15" t="s">
        <v>26</v>
      </c>
      <c r="F6" s="15" t="s">
        <v>27</v>
      </c>
      <c r="G6" s="16" t="s">
        <v>28</v>
      </c>
      <c r="H6" s="16" t="n">
        <v>2</v>
      </c>
      <c r="I6" s="12" t="s">
        <v>16</v>
      </c>
    </row>
    <row r="7" customFormat="false" ht="24.05" hidden="false" customHeight="false" outlineLevel="0" collapsed="false">
      <c r="B7" s="10" t="n">
        <v>5</v>
      </c>
      <c r="C7" s="17" t="s">
        <v>29</v>
      </c>
      <c r="D7" s="17" t="s">
        <v>12</v>
      </c>
      <c r="E7" s="17" t="s">
        <v>30</v>
      </c>
      <c r="F7" s="17" t="s">
        <v>31</v>
      </c>
      <c r="G7" s="18" t="s">
        <v>32</v>
      </c>
      <c r="H7" s="18" t="n">
        <v>2</v>
      </c>
      <c r="I7" s="12" t="s">
        <v>16</v>
      </c>
    </row>
    <row r="8" customFormat="false" ht="24.05" hidden="false" customHeight="false" outlineLevel="0" collapsed="false">
      <c r="B8" s="13" t="n">
        <v>6</v>
      </c>
      <c r="C8" s="15" t="s">
        <v>33</v>
      </c>
      <c r="D8" s="15" t="s">
        <v>12</v>
      </c>
      <c r="E8" s="15" t="s">
        <v>34</v>
      </c>
      <c r="F8" s="15" t="s">
        <v>35</v>
      </c>
      <c r="G8" s="16" t="s">
        <v>15</v>
      </c>
      <c r="H8" s="16" t="n">
        <v>2</v>
      </c>
      <c r="I8" s="12" t="s">
        <v>16</v>
      </c>
    </row>
    <row r="9" customFormat="false" ht="24.05" hidden="false" customHeight="false" outlineLevel="0" collapsed="false">
      <c r="B9" s="10" t="n">
        <v>7</v>
      </c>
      <c r="C9" s="17" t="s">
        <v>36</v>
      </c>
      <c r="D9" s="17" t="s">
        <v>37</v>
      </c>
      <c r="E9" s="17" t="s">
        <v>38</v>
      </c>
      <c r="F9" s="17" t="s">
        <v>39</v>
      </c>
      <c r="G9" s="18" t="s">
        <v>15</v>
      </c>
      <c r="H9" s="18" t="n">
        <v>3</v>
      </c>
      <c r="I9" s="12" t="s">
        <v>16</v>
      </c>
    </row>
    <row r="10" customFormat="false" ht="24.05" hidden="false" customHeight="false" outlineLevel="0" collapsed="false">
      <c r="B10" s="13" t="n">
        <v>8</v>
      </c>
      <c r="C10" s="15" t="s">
        <v>40</v>
      </c>
      <c r="D10" s="15" t="s">
        <v>37</v>
      </c>
      <c r="E10" s="15" t="s">
        <v>41</v>
      </c>
      <c r="F10" s="15" t="s">
        <v>42</v>
      </c>
      <c r="G10" s="16" t="s">
        <v>15</v>
      </c>
      <c r="H10" s="16" t="n">
        <v>3</v>
      </c>
      <c r="I10" s="12" t="s">
        <v>16</v>
      </c>
    </row>
    <row r="11" customFormat="false" ht="24.05" hidden="false" customHeight="false" outlineLevel="0" collapsed="false">
      <c r="B11" s="10" t="n">
        <v>9</v>
      </c>
      <c r="C11" s="17" t="s">
        <v>43</v>
      </c>
      <c r="D11" s="17" t="s">
        <v>44</v>
      </c>
      <c r="E11" s="17" t="s">
        <v>45</v>
      </c>
      <c r="F11" s="17" t="s">
        <v>46</v>
      </c>
      <c r="G11" s="18" t="s">
        <v>21</v>
      </c>
      <c r="H11" s="18" t="n">
        <v>4</v>
      </c>
      <c r="I11" s="12" t="s">
        <v>16</v>
      </c>
    </row>
    <row r="12" customFormat="false" ht="24.05" hidden="false" customHeight="false" outlineLevel="0" collapsed="false">
      <c r="B12" s="13" t="n">
        <v>10</v>
      </c>
      <c r="C12" s="15" t="s">
        <v>47</v>
      </c>
      <c r="D12" s="15" t="s">
        <v>44</v>
      </c>
      <c r="E12" s="15" t="s">
        <v>48</v>
      </c>
      <c r="F12" s="15" t="s">
        <v>49</v>
      </c>
      <c r="G12" s="16" t="s">
        <v>15</v>
      </c>
      <c r="H12" s="16" t="n">
        <v>4</v>
      </c>
      <c r="I12" s="12" t="s">
        <v>16</v>
      </c>
    </row>
    <row r="13" customFormat="false" ht="35.5" hidden="false" customHeight="false" outlineLevel="0" collapsed="false">
      <c r="B13" s="10" t="n">
        <v>11</v>
      </c>
      <c r="C13" s="17" t="s">
        <v>50</v>
      </c>
      <c r="D13" s="17" t="s">
        <v>37</v>
      </c>
      <c r="E13" s="17" t="s">
        <v>51</v>
      </c>
      <c r="F13" s="17" t="s">
        <v>52</v>
      </c>
      <c r="G13" s="18" t="s">
        <v>15</v>
      </c>
      <c r="H13" s="18" t="n">
        <v>4</v>
      </c>
      <c r="I13" s="12" t="s">
        <v>16</v>
      </c>
    </row>
    <row r="14" customFormat="false" ht="24.05" hidden="false" customHeight="false" outlineLevel="0" collapsed="false">
      <c r="B14" s="13" t="n">
        <v>12</v>
      </c>
      <c r="C14" s="15" t="s">
        <v>53</v>
      </c>
      <c r="D14" s="15" t="s">
        <v>37</v>
      </c>
      <c r="E14" s="15" t="s">
        <v>54</v>
      </c>
      <c r="F14" s="15" t="s">
        <v>55</v>
      </c>
      <c r="G14" s="16" t="s">
        <v>15</v>
      </c>
      <c r="H14" s="16" t="n">
        <v>4</v>
      </c>
      <c r="I14" s="12" t="s">
        <v>16</v>
      </c>
    </row>
    <row r="15" customFormat="false" ht="35.5" hidden="false" customHeight="false" outlineLevel="0" collapsed="false">
      <c r="B15" s="10" t="n">
        <v>13</v>
      </c>
      <c r="C15" s="19" t="s">
        <v>56</v>
      </c>
      <c r="D15" s="17" t="s">
        <v>18</v>
      </c>
      <c r="E15" s="17" t="s">
        <v>57</v>
      </c>
      <c r="F15" s="17" t="s">
        <v>58</v>
      </c>
      <c r="G15" s="18" t="s">
        <v>28</v>
      </c>
      <c r="H15" s="18" t="n">
        <v>5</v>
      </c>
      <c r="I15" s="12" t="s">
        <v>16</v>
      </c>
    </row>
    <row r="16" customFormat="false" ht="24.05" hidden="false" customHeight="false" outlineLevel="0" collapsed="false">
      <c r="B16" s="13" t="n">
        <v>14</v>
      </c>
      <c r="C16" s="15" t="s">
        <v>59</v>
      </c>
      <c r="D16" s="15" t="s">
        <v>37</v>
      </c>
      <c r="E16" s="15" t="s">
        <v>60</v>
      </c>
      <c r="F16" s="15" t="s">
        <v>61</v>
      </c>
      <c r="G16" s="16" t="s">
        <v>21</v>
      </c>
      <c r="H16" s="16" t="n">
        <v>5</v>
      </c>
      <c r="I16" s="12" t="s">
        <v>16</v>
      </c>
    </row>
    <row r="17" customFormat="false" ht="24.05" hidden="false" customHeight="false" outlineLevel="0" collapsed="false">
      <c r="B17" s="10" t="n">
        <v>15</v>
      </c>
      <c r="C17" s="19" t="s">
        <v>62</v>
      </c>
      <c r="D17" s="17" t="s">
        <v>18</v>
      </c>
      <c r="E17" s="17" t="s">
        <v>63</v>
      </c>
      <c r="F17" s="17" t="s">
        <v>64</v>
      </c>
      <c r="G17" s="18" t="s">
        <v>15</v>
      </c>
      <c r="H17" s="18" t="n">
        <v>5</v>
      </c>
      <c r="I17" s="12" t="s">
        <v>16</v>
      </c>
    </row>
    <row r="18" customFormat="false" ht="24.05" hidden="false" customHeight="false" outlineLevel="0" collapsed="false">
      <c r="B18" s="13" t="n">
        <v>16</v>
      </c>
      <c r="C18" s="15" t="s">
        <v>65</v>
      </c>
      <c r="D18" s="15" t="s">
        <v>18</v>
      </c>
      <c r="E18" s="15" t="s">
        <v>66</v>
      </c>
      <c r="F18" s="15" t="s">
        <v>67</v>
      </c>
      <c r="G18" s="16" t="s">
        <v>15</v>
      </c>
      <c r="H18" s="16" t="n">
        <v>5</v>
      </c>
      <c r="I18" s="12" t="s">
        <v>16</v>
      </c>
    </row>
    <row r="19" customFormat="false" ht="24.05" hidden="false" customHeight="false" outlineLevel="0" collapsed="false">
      <c r="B19" s="10" t="n">
        <v>17</v>
      </c>
      <c r="C19" s="19" t="s">
        <v>68</v>
      </c>
      <c r="D19" s="17" t="s">
        <v>18</v>
      </c>
      <c r="E19" s="17" t="s">
        <v>69</v>
      </c>
      <c r="F19" s="17" t="s">
        <v>70</v>
      </c>
      <c r="G19" s="18" t="s">
        <v>28</v>
      </c>
      <c r="H19" s="18" t="n">
        <v>6</v>
      </c>
      <c r="I19" s="12" t="s">
        <v>16</v>
      </c>
    </row>
    <row r="20" customFormat="false" ht="24.05" hidden="false" customHeight="false" outlineLevel="0" collapsed="false">
      <c r="B20" s="13" t="n">
        <v>18</v>
      </c>
      <c r="C20" s="15" t="s">
        <v>71</v>
      </c>
      <c r="D20" s="15" t="s">
        <v>72</v>
      </c>
      <c r="E20" s="15" t="s">
        <v>73</v>
      </c>
      <c r="F20" s="15" t="s">
        <v>74</v>
      </c>
      <c r="G20" s="16" t="s">
        <v>15</v>
      </c>
      <c r="H20" s="16" t="n">
        <v>6</v>
      </c>
      <c r="I20" s="12" t="s">
        <v>16</v>
      </c>
    </row>
    <row r="21" customFormat="false" ht="35.5" hidden="false" customHeight="false" outlineLevel="0" collapsed="false">
      <c r="B21" s="10" t="n">
        <v>19</v>
      </c>
      <c r="C21" s="19" t="s">
        <v>75</v>
      </c>
      <c r="D21" s="17" t="s">
        <v>76</v>
      </c>
      <c r="E21" s="17" t="s">
        <v>77</v>
      </c>
      <c r="F21" s="17" t="s">
        <v>78</v>
      </c>
      <c r="G21" s="18" t="s">
        <v>28</v>
      </c>
      <c r="H21" s="18" t="n">
        <v>6</v>
      </c>
      <c r="I21" s="12" t="s">
        <v>16</v>
      </c>
    </row>
    <row r="22" customFormat="false" ht="15" hidden="false" customHeight="false" outlineLevel="0" collapsed="false">
      <c r="B22" s="13" t="n">
        <v>20</v>
      </c>
      <c r="C22" s="15"/>
      <c r="D22" s="15"/>
      <c r="E22" s="15"/>
      <c r="F22" s="15"/>
      <c r="G22" s="16"/>
      <c r="H22" s="16"/>
    </row>
    <row r="23" customFormat="false" ht="15" hidden="false" customHeight="false" outlineLevel="0" collapsed="false">
      <c r="B23" s="10" t="n">
        <v>21</v>
      </c>
      <c r="C23" s="19"/>
      <c r="D23" s="17"/>
      <c r="E23" s="17"/>
      <c r="F23" s="17"/>
      <c r="G23" s="18"/>
      <c r="H23" s="18"/>
    </row>
    <row r="24" customFormat="false" ht="15" hidden="false" customHeight="false" outlineLevel="0" collapsed="false">
      <c r="B24" s="13" t="n">
        <v>22</v>
      </c>
      <c r="C24" s="15"/>
      <c r="D24" s="15"/>
      <c r="E24" s="15"/>
      <c r="F24" s="15"/>
      <c r="G24" s="16"/>
      <c r="H24" s="16"/>
    </row>
    <row r="25" customFormat="false" ht="15" hidden="false" customHeight="false" outlineLevel="0" collapsed="false">
      <c r="B25" s="10" t="n">
        <v>23</v>
      </c>
      <c r="C25" s="19"/>
      <c r="D25" s="17"/>
      <c r="E25" s="17"/>
      <c r="F25" s="17"/>
      <c r="G25" s="18"/>
      <c r="H25" s="18"/>
    </row>
    <row r="26" customFormat="false" ht="15" hidden="false" customHeight="false" outlineLevel="0" collapsed="false">
      <c r="B26" s="13" t="n">
        <v>24</v>
      </c>
      <c r="C26" s="15"/>
      <c r="D26" s="15"/>
      <c r="E26" s="15"/>
      <c r="F26" s="15"/>
      <c r="G26" s="16"/>
      <c r="H26" s="16"/>
    </row>
    <row r="27" customFormat="false" ht="15" hidden="false" customHeight="false" outlineLevel="0" collapsed="false">
      <c r="B27" s="10" t="n">
        <v>25</v>
      </c>
      <c r="C27" s="19"/>
      <c r="D27" s="17"/>
      <c r="E27" s="17"/>
      <c r="F27" s="17"/>
      <c r="G27" s="18"/>
      <c r="H27" s="18"/>
    </row>
    <row r="28" customFormat="false" ht="15" hidden="false" customHeight="false" outlineLevel="0" collapsed="false">
      <c r="B28" s="13" t="n">
        <v>26</v>
      </c>
      <c r="C28" s="15"/>
      <c r="D28" s="15"/>
      <c r="E28" s="15"/>
      <c r="F28" s="15"/>
      <c r="G28" s="16"/>
      <c r="H28" s="16"/>
    </row>
    <row r="29" customFormat="false" ht="15" hidden="false" customHeight="false" outlineLevel="0" collapsed="false">
      <c r="B29" s="10" t="n">
        <v>27</v>
      </c>
      <c r="C29" s="19"/>
      <c r="D29" s="17"/>
      <c r="E29" s="17"/>
      <c r="F29" s="17"/>
      <c r="G29" s="18"/>
      <c r="H29" s="18"/>
    </row>
    <row r="30" customFormat="false" ht="15" hidden="false" customHeight="false" outlineLevel="0" collapsed="false">
      <c r="B30" s="13" t="n">
        <v>28</v>
      </c>
      <c r="C30" s="15"/>
      <c r="D30" s="15"/>
      <c r="E30" s="15"/>
      <c r="F30" s="15"/>
      <c r="G30" s="16"/>
      <c r="H30" s="16"/>
    </row>
    <row r="31" customFormat="false" ht="15" hidden="false" customHeight="false" outlineLevel="0" collapsed="false">
      <c r="B31" s="10" t="n">
        <v>29</v>
      </c>
      <c r="C31" s="19"/>
      <c r="D31" s="17"/>
      <c r="E31" s="17"/>
      <c r="F31" s="17"/>
      <c r="G31" s="18"/>
      <c r="H31" s="18"/>
    </row>
    <row r="32" customFormat="false" ht="15" hidden="false" customHeight="false" outlineLevel="0" collapsed="false">
      <c r="B32" s="13" t="n">
        <v>30</v>
      </c>
      <c r="C32" s="15"/>
      <c r="D32" s="15"/>
      <c r="E32" s="15"/>
      <c r="F32" s="15"/>
      <c r="G32" s="16"/>
      <c r="H32" s="16"/>
    </row>
    <row r="33" customFormat="false" ht="15" hidden="false" customHeight="false" outlineLevel="0" collapsed="false">
      <c r="B33" s="10" t="n">
        <v>31</v>
      </c>
      <c r="C33" s="19"/>
      <c r="D33" s="17"/>
      <c r="E33" s="17"/>
      <c r="F33" s="17"/>
      <c r="G33" s="18"/>
      <c r="H33" s="18"/>
    </row>
    <row r="34" customFormat="false" ht="15" hidden="false" customHeight="false" outlineLevel="0" collapsed="false">
      <c r="B34" s="13" t="n">
        <v>32</v>
      </c>
      <c r="C34" s="15"/>
      <c r="D34" s="15"/>
      <c r="E34" s="15"/>
      <c r="F34" s="15"/>
      <c r="G34" s="16"/>
      <c r="H34" s="16"/>
    </row>
    <row r="35" customFormat="false" ht="15" hidden="false" customHeight="false" outlineLevel="0" collapsed="false">
      <c r="B35" s="10" t="n">
        <v>33</v>
      </c>
      <c r="C35" s="19"/>
      <c r="D35" s="17"/>
      <c r="E35" s="17"/>
      <c r="F35" s="17"/>
      <c r="G35" s="18"/>
      <c r="H35" s="18"/>
    </row>
    <row r="36" customFormat="false" ht="15" hidden="false" customHeight="false" outlineLevel="0" collapsed="false">
      <c r="B36" s="13" t="n">
        <v>34</v>
      </c>
      <c r="C36" s="15"/>
      <c r="D36" s="15"/>
      <c r="E36" s="15"/>
      <c r="F36" s="15"/>
      <c r="G36" s="16"/>
      <c r="H36" s="16"/>
    </row>
    <row r="37" customFormat="false" ht="15" hidden="false" customHeight="false" outlineLevel="0" collapsed="false">
      <c r="B37" s="10" t="n">
        <v>35</v>
      </c>
      <c r="C37" s="19"/>
      <c r="D37" s="17"/>
      <c r="E37" s="17"/>
      <c r="F37" s="17"/>
      <c r="G37" s="18"/>
      <c r="H37" s="18"/>
    </row>
    <row r="38" customFormat="false" ht="15" hidden="false" customHeight="false" outlineLevel="0" collapsed="false">
      <c r="B38" s="13" t="n">
        <v>36</v>
      </c>
      <c r="C38" s="15"/>
      <c r="D38" s="15"/>
      <c r="E38" s="15"/>
      <c r="F38" s="15"/>
      <c r="G38" s="16"/>
      <c r="H38" s="16"/>
    </row>
    <row r="39" customFormat="false" ht="15" hidden="false" customHeight="false" outlineLevel="0" collapsed="false">
      <c r="B39" s="10" t="n">
        <v>37</v>
      </c>
      <c r="C39" s="19"/>
      <c r="D39" s="17"/>
      <c r="E39" s="17"/>
      <c r="F39" s="17"/>
      <c r="G39" s="18"/>
      <c r="H39" s="18"/>
    </row>
    <row r="40" customFormat="false" ht="15" hidden="false" customHeight="false" outlineLevel="0" collapsed="false">
      <c r="B40" s="13" t="n">
        <v>38</v>
      </c>
      <c r="C40" s="15"/>
      <c r="D40" s="15"/>
      <c r="E40" s="15"/>
      <c r="F40" s="15"/>
      <c r="G40" s="16"/>
      <c r="H40" s="16"/>
    </row>
    <row r="41" customFormat="false" ht="15" hidden="false" customHeight="false" outlineLevel="0" collapsed="false">
      <c r="B41" s="10" t="n">
        <v>39</v>
      </c>
      <c r="C41" s="19"/>
      <c r="D41" s="17"/>
      <c r="E41" s="17"/>
      <c r="F41" s="17"/>
      <c r="G41" s="18"/>
      <c r="H41" s="18"/>
    </row>
    <row r="42" customFormat="false" ht="15" hidden="false" customHeight="false" outlineLevel="0" collapsed="false">
      <c r="B42" s="13" t="n">
        <v>40</v>
      </c>
      <c r="C42" s="15"/>
      <c r="D42" s="15"/>
      <c r="E42" s="15"/>
      <c r="F42" s="15"/>
      <c r="G42" s="16"/>
      <c r="H42" s="16"/>
    </row>
    <row r="43" customFormat="false" ht="15" hidden="false" customHeight="false" outlineLevel="0" collapsed="false">
      <c r="B43" s="10" t="n">
        <v>41</v>
      </c>
      <c r="C43" s="19"/>
      <c r="D43" s="17"/>
      <c r="E43" s="17"/>
      <c r="F43" s="17"/>
      <c r="G43" s="18"/>
      <c r="H43" s="18"/>
    </row>
    <row r="44" customFormat="false" ht="15" hidden="false" customHeight="false" outlineLevel="0" collapsed="false">
      <c r="B44" s="13" t="n">
        <v>42</v>
      </c>
      <c r="C44" s="15"/>
      <c r="D44" s="15"/>
      <c r="E44" s="15"/>
      <c r="F44" s="15"/>
      <c r="G44" s="16"/>
      <c r="H44" s="16"/>
    </row>
    <row r="45" customFormat="false" ht="15" hidden="false" customHeight="false" outlineLevel="0" collapsed="false">
      <c r="B45" s="10" t="n">
        <v>43</v>
      </c>
      <c r="C45" s="19"/>
      <c r="D45" s="17"/>
      <c r="E45" s="17"/>
      <c r="F45" s="17"/>
      <c r="G45" s="18"/>
      <c r="H45" s="18"/>
    </row>
    <row r="46" customFormat="false" ht="15" hidden="false" customHeight="false" outlineLevel="0" collapsed="false">
      <c r="B46" s="13" t="n">
        <v>44</v>
      </c>
      <c r="C46" s="15"/>
      <c r="D46" s="15"/>
      <c r="E46" s="15"/>
      <c r="F46" s="15"/>
      <c r="G46" s="16"/>
      <c r="H46" s="16"/>
    </row>
    <row r="47" customFormat="false" ht="15" hidden="false" customHeight="false" outlineLevel="0" collapsed="false">
      <c r="B47" s="10" t="n">
        <v>45</v>
      </c>
      <c r="C47" s="19"/>
      <c r="D47" s="17"/>
      <c r="E47" s="17"/>
      <c r="F47" s="17"/>
      <c r="G47" s="18"/>
      <c r="H47" s="18"/>
    </row>
    <row r="48" customFormat="false" ht="15" hidden="false" customHeight="false" outlineLevel="0" collapsed="false">
      <c r="B48" s="13" t="n">
        <v>46</v>
      </c>
      <c r="C48" s="15"/>
      <c r="D48" s="15"/>
      <c r="E48" s="15"/>
      <c r="F48" s="15"/>
      <c r="G48" s="16"/>
      <c r="H48" s="16"/>
    </row>
    <row r="49" customFormat="false" ht="15" hidden="false" customHeight="false" outlineLevel="0" collapsed="false">
      <c r="B49" s="10" t="n">
        <v>47</v>
      </c>
      <c r="C49" s="19"/>
      <c r="D49" s="17"/>
      <c r="E49" s="17"/>
      <c r="F49" s="17"/>
      <c r="G49" s="18"/>
      <c r="H49" s="18"/>
    </row>
    <row r="50" customFormat="false" ht="15" hidden="false" customHeight="false" outlineLevel="0" collapsed="false">
      <c r="B50" s="13" t="n">
        <v>48</v>
      </c>
      <c r="C50" s="15"/>
      <c r="D50" s="15"/>
      <c r="E50" s="15"/>
      <c r="F50" s="15"/>
      <c r="G50" s="16"/>
      <c r="H50" s="16"/>
    </row>
    <row r="51" customFormat="false" ht="15" hidden="false" customHeight="false" outlineLevel="0" collapsed="false">
      <c r="B51" s="10" t="n">
        <v>49</v>
      </c>
      <c r="C51" s="19"/>
      <c r="D51" s="17"/>
      <c r="E51" s="17"/>
      <c r="F51" s="17"/>
      <c r="G51" s="18"/>
      <c r="H51" s="18"/>
    </row>
    <row r="52" customFormat="false" ht="15" hidden="false" customHeight="false" outlineLevel="0" collapsed="false">
      <c r="B52" s="13" t="n">
        <v>50</v>
      </c>
      <c r="C52" s="15"/>
      <c r="D52" s="15"/>
      <c r="E52" s="15"/>
      <c r="F52" s="15"/>
      <c r="G52" s="16"/>
      <c r="H52" s="16"/>
    </row>
  </sheetData>
  <mergeCells count="2">
    <mergeCell ref="B1:C1"/>
    <mergeCell ref="D1:F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5.00390625" defaultRowHeight="15" customHeight="false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5.29"/>
    <col collapsed="false" customWidth="true" hidden="false" outlineLevel="0" max="3" min="3" style="1" width="39.57"/>
    <col collapsed="false" customWidth="true" hidden="false" outlineLevel="0" max="4" min="4" style="1" width="42.57"/>
    <col collapsed="false" customWidth="true" hidden="false" outlineLevel="0" max="6" min="6" style="0" width="6.43"/>
    <col collapsed="false" customWidth="true" hidden="false" outlineLevel="0" max="7" min="7" style="0" width="4.29"/>
    <col collapsed="false" customWidth="true" hidden="false" outlineLevel="0" max="8" min="8" style="0" width="21.57"/>
    <col collapsed="false" customWidth="true" hidden="false" outlineLevel="0" max="9" min="9" style="0" width="29.14"/>
    <col collapsed="false" customWidth="true" hidden="false" outlineLevel="0" max="10" min="10" style="0" width="20.14"/>
    <col collapsed="false" customWidth="true" hidden="false" outlineLevel="0" max="11" min="11" style="0" width="3.57"/>
  </cols>
  <sheetData>
    <row r="1" customFormat="false" ht="26.25" hidden="false" customHeight="true" outlineLevel="0" collapsed="false">
      <c r="C1" s="20" t="s">
        <v>79</v>
      </c>
      <c r="D1" s="20"/>
      <c r="E1" s="20"/>
      <c r="I1" s="21" t="s">
        <v>80</v>
      </c>
    </row>
    <row r="2" customFormat="false" ht="24.75" hidden="false" customHeight="true" outlineLevel="0" collapsed="false">
      <c r="C2" s="4" t="s">
        <v>0</v>
      </c>
      <c r="G2" s="22"/>
      <c r="H2" s="23" t="s">
        <v>81</v>
      </c>
      <c r="I2" s="24" t="s">
        <v>82</v>
      </c>
      <c r="J2" s="25" t="s">
        <v>83</v>
      </c>
      <c r="K2" s="26"/>
    </row>
    <row r="3" customFormat="false" ht="56.25" hidden="false" customHeight="true" outlineLevel="0" collapsed="false">
      <c r="B3" s="27" t="s">
        <v>3</v>
      </c>
      <c r="C3" s="28" t="s">
        <v>84</v>
      </c>
      <c r="D3" s="29" t="s">
        <v>85</v>
      </c>
      <c r="E3" s="28" t="s">
        <v>86</v>
      </c>
      <c r="G3" s="30"/>
      <c r="H3" s="31"/>
      <c r="I3" s="32"/>
      <c r="J3" s="31"/>
      <c r="K3" s="33"/>
    </row>
    <row r="4" customFormat="false" ht="15" hidden="false" customHeight="false" outlineLevel="0" collapsed="false">
      <c r="B4" s="34" t="n">
        <v>1</v>
      </c>
      <c r="C4" s="17" t="str">
        <f aca="false">IF(B4="","",VLOOKUP(B4,Backlog!$B$3:$G$52,2,FALSE()))</f>
        <v>Cadastro de Cidadão com LGPD</v>
      </c>
      <c r="D4" s="35"/>
      <c r="E4" s="18" t="str">
        <f aca="false">IF(B4="","",VLOOKUP(B4,Backlog!$B$3:$G$52,6,FALSE()))</f>
        <v>M</v>
      </c>
      <c r="G4" s="30"/>
      <c r="H4" s="33"/>
      <c r="J4" s="30"/>
      <c r="K4" s="33"/>
    </row>
    <row r="5" customFormat="false" ht="15" hidden="false" customHeight="false" outlineLevel="0" collapsed="false">
      <c r="B5" s="36" t="n">
        <v>2</v>
      </c>
      <c r="C5" s="15" t="str">
        <f aca="false">IF(B5="","",VLOOKUP(B5,Backlog!$B$3:$G$52,2,FALSE()))</f>
        <v>Login no Aplicativo</v>
      </c>
      <c r="D5" s="36"/>
      <c r="E5" s="16" t="str">
        <f aca="false">IF(B5="","",VLOOKUP(B5,Backlog!$B$3:$G$52,6,FALSE()))</f>
        <v>P</v>
      </c>
      <c r="G5" s="30"/>
      <c r="H5" s="33"/>
      <c r="J5" s="30"/>
      <c r="K5" s="33"/>
    </row>
    <row r="6" customFormat="false" ht="15" hidden="false" customHeight="false" outlineLevel="0" collapsed="false">
      <c r="B6" s="35" t="n">
        <v>3</v>
      </c>
      <c r="C6" s="17" t="str">
        <f aca="false">IF(B6="","",VLOOKUP(B6,Backlog!$B$3:$G$52,2,FALSE()))</f>
        <v>Visualização do Mapa e Marcadores</v>
      </c>
      <c r="D6" s="35"/>
      <c r="E6" s="18" t="str">
        <f aca="false">IF(B6="","",VLOOKUP(B6,Backlog!$B$3:$G$52,6,FALSE()))</f>
        <v>M</v>
      </c>
      <c r="G6" s="30"/>
      <c r="H6" s="33"/>
      <c r="J6" s="30"/>
      <c r="K6" s="33"/>
    </row>
    <row r="7" customFormat="false" ht="15" hidden="false" customHeight="false" outlineLevel="0" collapsed="false">
      <c r="B7" s="36"/>
      <c r="C7" s="15" t="str">
        <f aca="false">IF(B7="","",VLOOKUP(B7,Backlog!$B$3:$G$52,2,FALSE()))</f>
        <v/>
      </c>
      <c r="D7" s="36"/>
      <c r="E7" s="16" t="str">
        <f aca="false">IF(B7="","",VLOOKUP(B7,Backlog!$B$3:$G$52,6,FALSE()))</f>
        <v/>
      </c>
      <c r="G7" s="30"/>
      <c r="H7" s="33"/>
      <c r="J7" s="30"/>
      <c r="K7" s="33"/>
    </row>
    <row r="8" customFormat="false" ht="15" hidden="false" customHeight="false" outlineLevel="0" collapsed="false">
      <c r="B8" s="35"/>
      <c r="C8" s="17" t="str">
        <f aca="false">IF(B8="","",VLOOKUP(B8,Backlog!$B$3:$G$52,2,FALSE()))</f>
        <v/>
      </c>
      <c r="D8" s="35"/>
      <c r="E8" s="18" t="str">
        <f aca="false">IF(B8="","",VLOOKUP(B8,Backlog!$B$3:$G$52,6,FALSE()))</f>
        <v/>
      </c>
      <c r="G8" s="30"/>
      <c r="I8" s="32"/>
      <c r="K8" s="33"/>
    </row>
    <row r="9" customFormat="false" ht="15" hidden="false" customHeight="false" outlineLevel="0" collapsed="false">
      <c r="B9" s="36"/>
      <c r="C9" s="15" t="str">
        <f aca="false">IF(B9="","",VLOOKUP(B9,Backlog!$B$3:$G$52,2,FALSE()))</f>
        <v/>
      </c>
      <c r="D9" s="36"/>
      <c r="E9" s="16" t="str">
        <f aca="false">IF(B9="","",VLOOKUP(B9,Backlog!$B$3:$G$52,6,FALSE()))</f>
        <v/>
      </c>
      <c r="G9" s="30"/>
      <c r="I9" s="32"/>
      <c r="K9" s="33"/>
    </row>
    <row r="10" customFormat="false" ht="15" hidden="false" customHeight="false" outlineLevel="0" collapsed="false">
      <c r="B10" s="35"/>
      <c r="C10" s="17" t="str">
        <f aca="false">IF(B10="","",VLOOKUP(B10,Backlog!$B$3:$G$52,2,FALSE()))</f>
        <v/>
      </c>
      <c r="D10" s="35"/>
      <c r="E10" s="18" t="str">
        <f aca="false">IF(B10="","",VLOOKUP(B10,Backlog!$B$3:$G$52,6,FALSE()))</f>
        <v/>
      </c>
      <c r="G10" s="30"/>
      <c r="I10" s="32"/>
      <c r="K10" s="33"/>
    </row>
    <row r="11" customFormat="false" ht="15" hidden="false" customHeight="false" outlineLevel="0" collapsed="false">
      <c r="B11" s="36"/>
      <c r="C11" s="15" t="str">
        <f aca="false">IF(B11="","",VLOOKUP(B11,Backlog!$B$3:$G$52,2,FALSE()))</f>
        <v/>
      </c>
      <c r="D11" s="36"/>
      <c r="E11" s="16" t="str">
        <f aca="false">IF(B11="","",VLOOKUP(B11,Backlog!$B$3:$G$52,6,FALSE()))</f>
        <v/>
      </c>
      <c r="G11" s="30"/>
      <c r="I11" s="32"/>
      <c r="K11" s="33"/>
    </row>
    <row r="12" customFormat="false" ht="15" hidden="false" customHeight="false" outlineLevel="0" collapsed="false">
      <c r="B12" s="35"/>
      <c r="C12" s="17" t="str">
        <f aca="false">IF(B12="","",VLOOKUP(B12,Backlog!$B$3:$G$52,2,FALSE()))</f>
        <v/>
      </c>
      <c r="D12" s="35"/>
      <c r="E12" s="18" t="str">
        <f aca="false">IF(B12="","",VLOOKUP(B12,Backlog!$B$3:$G$52,6,FALSE()))</f>
        <v/>
      </c>
      <c r="G12" s="30"/>
      <c r="I12" s="32"/>
      <c r="K12" s="33"/>
    </row>
    <row r="13" customFormat="false" ht="15" hidden="false" customHeight="false" outlineLevel="0" collapsed="false">
      <c r="B13" s="36"/>
      <c r="C13" s="15" t="str">
        <f aca="false">IF(B13="","",VLOOKUP(B13,Backlog!$B$3:$G$52,2,FALSE()))</f>
        <v/>
      </c>
      <c r="D13" s="36"/>
      <c r="E13" s="16" t="str">
        <f aca="false">IF(B13="","",VLOOKUP(B13,Backlog!$B$3:$G$52,6,FALSE()))</f>
        <v/>
      </c>
      <c r="G13" s="30"/>
      <c r="I13" s="32"/>
      <c r="K13" s="33"/>
    </row>
    <row r="14" customFormat="false" ht="15" hidden="false" customHeight="false" outlineLevel="0" collapsed="false">
      <c r="B14" s="35"/>
      <c r="C14" s="17" t="str">
        <f aca="false">IF(B14="","",VLOOKUP(B14,Backlog!$B$3:$G$52,2,FALSE()))</f>
        <v/>
      </c>
      <c r="D14" s="35"/>
      <c r="E14" s="18" t="str">
        <f aca="false">IF(B14="","",VLOOKUP(B14,Backlog!$B$3:$G$52,6,FALSE()))</f>
        <v/>
      </c>
      <c r="G14" s="30"/>
      <c r="I14" s="32"/>
      <c r="K14" s="33"/>
    </row>
    <row r="15" customFormat="false" ht="15" hidden="false" customHeight="false" outlineLevel="0" collapsed="false">
      <c r="B15" s="36"/>
      <c r="C15" s="15" t="str">
        <f aca="false">IF(B15="","",VLOOKUP(B15,Backlog!$B$3:$G$52,2,FALSE()))</f>
        <v/>
      </c>
      <c r="D15" s="36"/>
      <c r="E15" s="16" t="str">
        <f aca="false">IF(B15="","",VLOOKUP(B15,Backlog!$B$3:$G$52,6,FALSE()))</f>
        <v/>
      </c>
      <c r="G15" s="30"/>
      <c r="I15" s="32"/>
      <c r="K15" s="33"/>
    </row>
    <row r="16" customFormat="false" ht="15" hidden="false" customHeight="false" outlineLevel="0" collapsed="false">
      <c r="B16" s="35"/>
      <c r="C16" s="17" t="str">
        <f aca="false">IF(B16="","",VLOOKUP(B16,Backlog!$B$3:$G$52,2,FALSE()))</f>
        <v/>
      </c>
      <c r="D16" s="35"/>
      <c r="E16" s="18" t="str">
        <f aca="false">IF(B16="","",VLOOKUP(B16,Backlog!$B$3:$G$52,6,FALSE()))</f>
        <v/>
      </c>
      <c r="G16" s="30"/>
      <c r="I16" s="32"/>
      <c r="K16" s="33"/>
    </row>
    <row r="17" customFormat="false" ht="15" hidden="false" customHeight="false" outlineLevel="0" collapsed="false">
      <c r="B17" s="36"/>
      <c r="C17" s="15" t="str">
        <f aca="false">IF(B17="","",VLOOKUP(B17,Backlog!$B$3:$G$52,2,FALSE()))</f>
        <v/>
      </c>
      <c r="D17" s="36"/>
      <c r="E17" s="16" t="str">
        <f aca="false">IF(B17="","",VLOOKUP(B17,Backlog!$B$3:$G$52,6,FALSE()))</f>
        <v/>
      </c>
      <c r="G17" s="30"/>
      <c r="I17" s="32"/>
      <c r="K17" s="33"/>
    </row>
    <row r="18" customFormat="false" ht="15" hidden="false" customHeight="false" outlineLevel="0" collapsed="false">
      <c r="B18" s="35"/>
      <c r="C18" s="17" t="str">
        <f aca="false">IF(B18="","",VLOOKUP(B18,Backlog!$B$3:$G$52,2,FALSE()))</f>
        <v/>
      </c>
      <c r="D18" s="35"/>
      <c r="E18" s="18" t="str">
        <f aca="false">IF(B18="","",VLOOKUP(B18,Backlog!$B$3:$G$52,6,FALSE()))</f>
        <v/>
      </c>
      <c r="G18" s="30"/>
      <c r="I18" s="32"/>
      <c r="K18" s="33"/>
    </row>
    <row r="19" customFormat="false" ht="15" hidden="false" customHeight="false" outlineLevel="0" collapsed="false">
      <c r="B19" s="36"/>
      <c r="C19" s="15" t="str">
        <f aca="false">IF(B19="","",VLOOKUP(B19,Backlog!$B$3:$G$52,2,FALSE()))</f>
        <v/>
      </c>
      <c r="D19" s="36"/>
      <c r="E19" s="16" t="str">
        <f aca="false">IF(B19="","",VLOOKUP(B19,Backlog!$B$3:$G$52,6,FALSE()))</f>
        <v/>
      </c>
      <c r="G19" s="30"/>
      <c r="I19" s="32"/>
      <c r="K19" s="33"/>
    </row>
    <row r="20" customFormat="false" ht="15" hidden="false" customHeight="false" outlineLevel="0" collapsed="false">
      <c r="B20" s="35"/>
      <c r="C20" s="17" t="str">
        <f aca="false">IF(B20="","",VLOOKUP(B20,Backlog!$B$3:$G$52,2,FALSE()))</f>
        <v/>
      </c>
      <c r="D20" s="35"/>
      <c r="E20" s="18" t="str">
        <f aca="false">IF(B20="","",VLOOKUP(B20,Backlog!$B$3:$G$52,6,FALSE()))</f>
        <v/>
      </c>
      <c r="G20" s="30"/>
      <c r="I20" s="32"/>
      <c r="K20" s="33"/>
    </row>
    <row r="21" customFormat="false" ht="15" hidden="false" customHeight="false" outlineLevel="0" collapsed="false">
      <c r="B21" s="36"/>
      <c r="C21" s="15" t="str">
        <f aca="false">IF(B21="","",VLOOKUP(B21,Backlog!$B$3:$G$52,2,FALSE()))</f>
        <v/>
      </c>
      <c r="D21" s="36"/>
      <c r="E21" s="16" t="str">
        <f aca="false">IF(B21="","",VLOOKUP(B21,Backlog!$B$3:$G$52,6,FALSE()))</f>
        <v/>
      </c>
      <c r="G21" s="30"/>
      <c r="I21" s="32"/>
      <c r="K21" s="33"/>
    </row>
    <row r="22" customFormat="false" ht="15" hidden="false" customHeight="false" outlineLevel="0" collapsed="false">
      <c r="B22" s="35"/>
      <c r="C22" s="17" t="str">
        <f aca="false">IF(B22="","",VLOOKUP(B22,Backlog!$B$3:$G$52,2,FALSE()))</f>
        <v/>
      </c>
      <c r="D22" s="35"/>
      <c r="E22" s="18" t="str">
        <f aca="false">IF(B22="","",VLOOKUP(B22,Backlog!$B$3:$G$52,6,FALSE()))</f>
        <v/>
      </c>
      <c r="G22" s="30"/>
      <c r="I22" s="32"/>
      <c r="K22" s="33"/>
    </row>
    <row r="23" customFormat="false" ht="15" hidden="false" customHeight="false" outlineLevel="0" collapsed="false">
      <c r="B23" s="36"/>
      <c r="C23" s="15" t="str">
        <f aca="false">IF(B23="","",VLOOKUP(B23,Backlog!$B$3:$G$52,2,FALSE()))</f>
        <v/>
      </c>
      <c r="D23" s="36"/>
      <c r="E23" s="16" t="str">
        <f aca="false">IF(B23="","",VLOOKUP(B23,Backlog!$B$3:$G$52,6,FALSE()))</f>
        <v/>
      </c>
      <c r="G23" s="37"/>
      <c r="H23" s="38"/>
      <c r="I23" s="39"/>
      <c r="J23" s="38"/>
      <c r="K23" s="40"/>
    </row>
  </sheetData>
  <mergeCells count="1">
    <mergeCell ref="C1:E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5.14"/>
    <col collapsed="false" customWidth="true" hidden="false" outlineLevel="0" max="3" min="3" style="0" width="4.86"/>
    <col collapsed="false" customWidth="true" hidden="false" outlineLevel="0" max="4" min="4" style="1" width="55.29"/>
    <col collapsed="false" customWidth="false" hidden="false" outlineLevel="0" max="5" min="5" style="1" width="11.43"/>
    <col collapsed="false" customWidth="true" hidden="false" outlineLevel="0" max="6" min="6" style="1" width="59.57"/>
  </cols>
  <sheetData>
    <row r="1" customFormat="false" ht="24" hidden="false" customHeight="true" outlineLevel="0" collapsed="false">
      <c r="B1" s="41" t="s">
        <v>0</v>
      </c>
      <c r="C1" s="41"/>
      <c r="D1" s="42" t="s">
        <v>87</v>
      </c>
      <c r="E1" s="42"/>
      <c r="F1" s="42"/>
    </row>
    <row r="2" customFormat="false" ht="15.65" hidden="false" customHeight="false" outlineLevel="0" collapsed="false">
      <c r="B2" s="43" t="s">
        <v>88</v>
      </c>
      <c r="C2" s="43" t="s">
        <v>3</v>
      </c>
      <c r="D2" s="44" t="s">
        <v>89</v>
      </c>
      <c r="E2" s="45" t="s">
        <v>90</v>
      </c>
      <c r="F2" s="45" t="s">
        <v>91</v>
      </c>
    </row>
    <row r="3" customFormat="false" ht="15" hidden="false" customHeight="false" outlineLevel="0" collapsed="false">
      <c r="B3" s="46" t="n">
        <v>1</v>
      </c>
      <c r="C3" s="46" t="n">
        <v>1</v>
      </c>
      <c r="D3" s="11" t="str">
        <f aca="false">IF(C3="","",VLOOKUP(C3,Backlog!$B$3:$G$52,2,FALSE()))</f>
        <v>Cadastro de Cidadão com LGPD</v>
      </c>
      <c r="E3" s="47" t="s">
        <v>92</v>
      </c>
      <c r="F3" s="47" t="s">
        <v>93</v>
      </c>
    </row>
    <row r="4" customFormat="false" ht="15" hidden="false" customHeight="false" outlineLevel="0" collapsed="false">
      <c r="B4" s="48" t="n">
        <v>1</v>
      </c>
      <c r="C4" s="48" t="n">
        <v>2</v>
      </c>
      <c r="D4" s="15" t="str">
        <f aca="false">IF(C4="","",VLOOKUP(C4,Backlog!$B$3:$G$52,2,FALSE()))</f>
        <v>Login no Aplicativo</v>
      </c>
      <c r="E4" s="36" t="s">
        <v>92</v>
      </c>
      <c r="F4" s="36" t="s">
        <v>93</v>
      </c>
    </row>
    <row r="5" customFormat="false" ht="15" hidden="false" customHeight="false" outlineLevel="0" collapsed="false">
      <c r="B5" s="46" t="n">
        <v>1</v>
      </c>
      <c r="C5" s="46" t="n">
        <v>3</v>
      </c>
      <c r="D5" s="11" t="str">
        <f aca="false">IF(C5="","",VLOOKUP(C5,Backlog!$B$3:$G$52,2,FALSE()))</f>
        <v>Visualização do Mapa e Marcadores</v>
      </c>
      <c r="E5" s="47" t="s">
        <v>92</v>
      </c>
      <c r="F5" s="47" t="s">
        <v>93</v>
      </c>
    </row>
    <row r="6" customFormat="false" ht="15" hidden="false" customHeight="false" outlineLevel="0" collapsed="false">
      <c r="B6" s="36" t="n">
        <v>2</v>
      </c>
      <c r="C6" s="36" t="n">
        <v>4</v>
      </c>
      <c r="D6" s="15" t="str">
        <f aca="false">IF(C6="","",VLOOKUP(C6,Backlog!$B$3:$G$52,2,FALSE()))</f>
        <v>Registro de Ocorrência (Com Foto e GPS)</v>
      </c>
      <c r="E6" s="36" t="s">
        <v>92</v>
      </c>
      <c r="F6" s="36" t="s">
        <v>93</v>
      </c>
    </row>
    <row r="7" customFormat="false" ht="15" hidden="false" customHeight="false" outlineLevel="0" collapsed="false">
      <c r="B7" s="47" t="n">
        <v>2</v>
      </c>
      <c r="C7" s="47" t="n">
        <v>5</v>
      </c>
      <c r="D7" s="11" t="str">
        <f aca="false">IF(C7="","",VLOOKUP(C7,Backlog!$B$3:$G$52,2,FALSE()))</f>
        <v>Sincronização Offline-First</v>
      </c>
      <c r="E7" s="47" t="s">
        <v>92</v>
      </c>
      <c r="F7" s="47" t="s">
        <v>93</v>
      </c>
    </row>
    <row r="8" customFormat="false" ht="15" hidden="false" customHeight="false" outlineLevel="0" collapsed="false">
      <c r="B8" s="36" t="n">
        <v>2</v>
      </c>
      <c r="C8" s="36" t="n">
        <v>6</v>
      </c>
      <c r="D8" s="15" t="str">
        <f aca="false">IF(C8="","",VLOOKUP(C8,Backlog!$B$3:$G$52,2,FALSE()))</f>
        <v>Histórico de Ocorrências Pessoais</v>
      </c>
      <c r="E8" s="36" t="s">
        <v>92</v>
      </c>
      <c r="F8" s="36" t="s">
        <v>93</v>
      </c>
    </row>
    <row r="9" customFormat="false" ht="15" hidden="false" customHeight="false" outlineLevel="0" collapsed="false">
      <c r="B9" s="47" t="n">
        <v>3</v>
      </c>
      <c r="C9" s="47" t="n">
        <v>7</v>
      </c>
      <c r="D9" s="11" t="str">
        <f aca="false">IF(C9="","",VLOOKUP(C9,Backlog!$B$3:$G$52,2,FALSE()))</f>
        <v>Painel do Coordenador (Aprovação)</v>
      </c>
      <c r="E9" s="47" t="s">
        <v>92</v>
      </c>
      <c r="F9" s="47" t="s">
        <v>93</v>
      </c>
    </row>
    <row r="10" customFormat="false" ht="15" hidden="false" customHeight="false" outlineLevel="0" collapsed="false">
      <c r="B10" s="36" t="n">
        <v>3</v>
      </c>
      <c r="C10" s="36" t="n">
        <v>8</v>
      </c>
      <c r="D10" s="15" t="str">
        <f aca="false">IF(C10="","",VLOOKUP(C10,Backlog!$B$3:$G$52,2,FALSE()))</f>
        <v>Atribuição de Agentes</v>
      </c>
      <c r="E10" s="36" t="s">
        <v>92</v>
      </c>
      <c r="F10" s="36" t="s">
        <v>93</v>
      </c>
    </row>
    <row r="11" customFormat="false" ht="15" hidden="false" customHeight="false" outlineLevel="0" collapsed="false">
      <c r="B11" s="47" t="n">
        <v>4</v>
      </c>
      <c r="C11" s="47" t="n">
        <v>9</v>
      </c>
      <c r="D11" s="11" t="str">
        <f aca="false">IF(C11="","",VLOOKUP(C11,Backlog!$B$3:$G$52,2,FALSE()))</f>
        <v>Registro de Chegada no Local</v>
      </c>
      <c r="E11" s="47" t="s">
        <v>92</v>
      </c>
      <c r="F11" s="47" t="s">
        <v>93</v>
      </c>
    </row>
    <row r="12" customFormat="false" ht="15" hidden="false" customHeight="false" outlineLevel="0" collapsed="false">
      <c r="B12" s="49" t="n">
        <v>4</v>
      </c>
      <c r="C12" s="49" t="n">
        <v>10</v>
      </c>
      <c r="D12" s="15" t="str">
        <f aca="false">IF(C12="","",VLOOKUP(C12,Backlog!$B$3:$G$52,2,FALSE()))</f>
        <v>Resolução de Ocorrência</v>
      </c>
      <c r="E12" s="36" t="s">
        <v>92</v>
      </c>
      <c r="F12" s="48" t="s">
        <v>93</v>
      </c>
    </row>
    <row r="13" customFormat="false" ht="15" hidden="false" customHeight="false" outlineLevel="0" collapsed="false">
      <c r="B13" s="50" t="n">
        <v>4</v>
      </c>
      <c r="C13" s="50" t="n">
        <v>11</v>
      </c>
      <c r="D13" s="19" t="str">
        <f aca="false">IF(C13="","",VLOOKUP(C13,Backlog!$B$3:$G$52,2,FALSE()))</f>
        <v>Gestão de Pontos de Interesse (POIs)</v>
      </c>
      <c r="E13" s="35" t="s">
        <v>92</v>
      </c>
      <c r="F13" s="51" t="s">
        <v>93</v>
      </c>
    </row>
    <row r="14" customFormat="false" ht="15" hidden="false" customHeight="false" outlineLevel="0" collapsed="false">
      <c r="B14" s="49" t="n">
        <v>4</v>
      </c>
      <c r="C14" s="49" t="n">
        <v>12</v>
      </c>
      <c r="D14" s="15" t="str">
        <f aca="false">IF(C14="","",VLOOKUP(C14,Backlog!$B$3:$G$52,2,FALSE()))</f>
        <v>Edição de Dados de Emergência</v>
      </c>
      <c r="E14" s="36" t="s">
        <v>92</v>
      </c>
      <c r="F14" s="48" t="s">
        <v>93</v>
      </c>
    </row>
    <row r="15" customFormat="false" ht="15" hidden="false" customHeight="false" outlineLevel="0" collapsed="false">
      <c r="B15" s="18" t="n">
        <v>5</v>
      </c>
      <c r="C15" s="18" t="n">
        <v>13</v>
      </c>
      <c r="D15" s="19" t="str">
        <f aca="false">IF(C15="","",VLOOKUP(C15,Backlog!$B$3:$G$52,2,FALSE()))</f>
        <v>Notificações Push (OneSignal)</v>
      </c>
      <c r="E15" s="17" t="s">
        <v>92</v>
      </c>
      <c r="F15" s="52" t="s">
        <v>93</v>
      </c>
    </row>
    <row r="16" customFormat="false" ht="15" hidden="false" customHeight="false" outlineLevel="0" collapsed="false">
      <c r="B16" s="53" t="n">
        <v>5</v>
      </c>
      <c r="C16" s="53" t="n">
        <v>14</v>
      </c>
      <c r="D16" s="54" t="str">
        <f aca="false">IF(C16="","",VLOOKUP(C16,Backlog!$B$3:$G$52,2,FALSE()))</f>
        <v>Elevação de Perfil</v>
      </c>
      <c r="E16" s="55" t="s">
        <v>92</v>
      </c>
      <c r="F16" s="56" t="s">
        <v>93</v>
      </c>
    </row>
    <row r="17" customFormat="false" ht="15" hidden="false" customHeight="false" outlineLevel="0" collapsed="false">
      <c r="B17" s="53" t="n">
        <v>5</v>
      </c>
      <c r="C17" s="53" t="n">
        <v>15</v>
      </c>
      <c r="D17" s="54" t="str">
        <f aca="false">IF(C17="","",VLOOKUP(C17,Backlog!$B$3:$G$52,2,FALSE()))</f>
        <v>Filtragem e Isolamento por Cidade</v>
      </c>
      <c r="E17" s="55" t="s">
        <v>92</v>
      </c>
      <c r="F17" s="56" t="s">
        <v>93</v>
      </c>
    </row>
    <row r="18" customFormat="false" ht="15" hidden="false" customHeight="false" outlineLevel="0" collapsed="false">
      <c r="B18" s="53" t="n">
        <v>5</v>
      </c>
      <c r="C18" s="53" t="n">
        <v>16</v>
      </c>
      <c r="D18" s="54" t="str">
        <f aca="false">IF(C18="","",VLOOKUP(C18,Backlog!$B$3:$G$52,2,FALSE()))</f>
        <v>Recuperação de Senha</v>
      </c>
      <c r="E18" s="55" t="s">
        <v>92</v>
      </c>
      <c r="F18" s="56" t="s">
        <v>93</v>
      </c>
    </row>
    <row r="19" customFormat="false" ht="15" hidden="false" customHeight="false" outlineLevel="0" collapsed="false">
      <c r="B19" s="53" t="n">
        <v>6</v>
      </c>
      <c r="C19" s="53" t="n">
        <v>17</v>
      </c>
      <c r="D19" s="54" t="str">
        <f aca="false">IF(C19="","",VLOOKUP(C19,Backlog!$B$3:$G$52,2,FALSE()))</f>
        <v>Monetização com Google AdMob</v>
      </c>
      <c r="E19" s="55" t="s">
        <v>92</v>
      </c>
      <c r="F19" s="56" t="s">
        <v>93</v>
      </c>
    </row>
    <row r="20" customFormat="false" ht="15" hidden="false" customHeight="false" outlineLevel="0" collapsed="false">
      <c r="B20" s="53" t="n">
        <v>6</v>
      </c>
      <c r="C20" s="53" t="n">
        <v>18</v>
      </c>
      <c r="D20" s="54" t="str">
        <f aca="false">IF(C20="","",VLOOKUP(C20,Backlog!$B$3:$G$52,2,FALSE()))</f>
        <v>Restrição Geográfica de POIs</v>
      </c>
      <c r="E20" s="55" t="s">
        <v>92</v>
      </c>
      <c r="F20" s="56" t="s">
        <v>93</v>
      </c>
    </row>
    <row r="21" customFormat="false" ht="15" hidden="false" customHeight="false" outlineLevel="0" collapsed="false">
      <c r="B21" s="53" t="n">
        <v>6</v>
      </c>
      <c r="C21" s="53" t="n">
        <v>19</v>
      </c>
      <c r="D21" s="54" t="str">
        <f aca="false">IF(C21="","",VLOOKUP(C21,Backlog!$B$3:$G$52,2,FALSE()))</f>
        <v>Validações de Segurança Backend</v>
      </c>
      <c r="E21" s="55" t="s">
        <v>92</v>
      </c>
      <c r="F21" s="56" t="s">
        <v>93</v>
      </c>
    </row>
  </sheetData>
  <mergeCells count="1">
    <mergeCell ref="D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3.86"/>
    <col collapsed="false" customWidth="true" hidden="false" outlineLevel="0" max="3" min="3" style="1" width="43.29"/>
    <col collapsed="false" customWidth="true" hidden="false" outlineLevel="0" max="4" min="4" style="1" width="46.71"/>
    <col collapsed="false" customWidth="true" hidden="false" outlineLevel="0" max="5" min="5" style="1" width="45.43"/>
  </cols>
  <sheetData>
    <row r="1" customFormat="false" ht="30.75" hidden="false" customHeight="true" outlineLevel="0" collapsed="false">
      <c r="B1" s="41" t="s">
        <v>0</v>
      </c>
      <c r="C1" s="57" t="s">
        <v>94</v>
      </c>
      <c r="D1" s="57"/>
      <c r="E1" s="57"/>
    </row>
    <row r="2" customFormat="false" ht="36" hidden="false" customHeight="true" outlineLevel="0" collapsed="false">
      <c r="B2" s="58" t="s">
        <v>95</v>
      </c>
      <c r="C2" s="28" t="s">
        <v>96</v>
      </c>
      <c r="D2" s="28" t="s">
        <v>97</v>
      </c>
      <c r="E2" s="28" t="s">
        <v>98</v>
      </c>
    </row>
    <row r="3" customFormat="false" ht="24.05" hidden="false" customHeight="false" outlineLevel="0" collapsed="false">
      <c r="B3" s="18" t="n">
        <v>1</v>
      </c>
      <c r="C3" s="17" t="s">
        <v>99</v>
      </c>
      <c r="D3" s="17" t="s">
        <v>100</v>
      </c>
      <c r="E3" s="52" t="s">
        <v>101</v>
      </c>
    </row>
    <row r="4" customFormat="false" ht="24.05" hidden="false" customHeight="false" outlineLevel="0" collapsed="false">
      <c r="B4" s="16" t="n">
        <v>2</v>
      </c>
      <c r="C4" s="15" t="s">
        <v>102</v>
      </c>
      <c r="D4" s="15" t="s">
        <v>103</v>
      </c>
      <c r="E4" s="59" t="s">
        <v>104</v>
      </c>
    </row>
    <row r="5" customFormat="false" ht="35.5" hidden="false" customHeight="false" outlineLevel="0" collapsed="false">
      <c r="B5" s="18" t="n">
        <v>3</v>
      </c>
      <c r="C5" s="60" t="s">
        <v>105</v>
      </c>
      <c r="D5" s="17" t="s">
        <v>106</v>
      </c>
      <c r="E5" s="52" t="s">
        <v>107</v>
      </c>
    </row>
    <row r="6" customFormat="false" ht="35.5" hidden="false" customHeight="false" outlineLevel="0" collapsed="false">
      <c r="B6" s="16" t="n">
        <v>4</v>
      </c>
      <c r="C6" s="15" t="s">
        <v>108</v>
      </c>
      <c r="D6" s="15" t="s">
        <v>109</v>
      </c>
      <c r="E6" s="59" t="s">
        <v>110</v>
      </c>
    </row>
    <row r="7" customFormat="false" ht="37.3" hidden="false" customHeight="false" outlineLevel="0" collapsed="false">
      <c r="B7" s="18" t="n">
        <v>5</v>
      </c>
      <c r="C7" s="19" t="s">
        <v>111</v>
      </c>
      <c r="D7" s="17" t="s">
        <v>112</v>
      </c>
      <c r="E7" s="52" t="s">
        <v>113</v>
      </c>
    </row>
    <row r="8" customFormat="false" ht="46.95" hidden="false" customHeight="false" outlineLevel="0" collapsed="false">
      <c r="B8" s="16" t="n">
        <v>6</v>
      </c>
      <c r="C8" s="15" t="s">
        <v>114</v>
      </c>
      <c r="D8" s="15" t="s">
        <v>115</v>
      </c>
      <c r="E8" s="59" t="s">
        <v>116</v>
      </c>
    </row>
    <row r="9" customFormat="false" ht="15" hidden="false" customHeight="false" outlineLevel="0" collapsed="false">
      <c r="B9" s="18" t="n">
        <v>7</v>
      </c>
      <c r="C9" s="19"/>
      <c r="D9" s="17"/>
      <c r="E9" s="52"/>
    </row>
    <row r="10" customFormat="false" ht="15" hidden="false" customHeight="false" outlineLevel="0" collapsed="false">
      <c r="B10" s="16" t="n">
        <v>8</v>
      </c>
      <c r="C10" s="15"/>
      <c r="D10" s="15"/>
      <c r="E10" s="59"/>
    </row>
    <row r="11" customFormat="false" ht="15" hidden="false" customHeight="false" outlineLevel="0" collapsed="false">
      <c r="B11" s="18" t="n">
        <v>9</v>
      </c>
      <c r="C11" s="19"/>
      <c r="D11" s="17"/>
      <c r="E11" s="52"/>
    </row>
    <row r="12" customFormat="false" ht="15" hidden="false" customHeight="false" outlineLevel="0" collapsed="false">
      <c r="B12" s="16" t="n">
        <v>10</v>
      </c>
      <c r="C12" s="15"/>
      <c r="D12" s="15"/>
      <c r="E12" s="59"/>
    </row>
    <row r="13" customFormat="false" ht="15" hidden="false" customHeight="false" outlineLevel="0" collapsed="false">
      <c r="B13" s="18" t="n">
        <v>11</v>
      </c>
      <c r="C13" s="19"/>
      <c r="D13" s="17"/>
      <c r="E13" s="52"/>
    </row>
    <row r="14" customFormat="false" ht="15" hidden="false" customHeight="false" outlineLevel="0" collapsed="false">
      <c r="B14" s="16" t="n">
        <v>12</v>
      </c>
      <c r="C14" s="15"/>
      <c r="D14" s="15"/>
      <c r="E14" s="59"/>
    </row>
    <row r="15" customFormat="false" ht="15" hidden="false" customHeight="false" outlineLevel="0" collapsed="false">
      <c r="B15" s="18" t="n">
        <v>13</v>
      </c>
      <c r="C15" s="19"/>
      <c r="D15" s="17"/>
      <c r="E15" s="52"/>
    </row>
  </sheetData>
  <mergeCells count="1">
    <mergeCell ref="C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2013-03-04T12:58:00Z</dcterms:created>
  <dc:creator>dpedro</dc:creator>
  <dc:description/>
  <dc:language>pt-BR</dc:language>
  <cp:lastModifiedBy/>
  <dcterms:modified xsi:type="dcterms:W3CDTF">2026-06-01T08:56:49Z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